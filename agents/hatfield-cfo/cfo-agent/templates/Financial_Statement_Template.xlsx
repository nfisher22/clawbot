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natefisher/Desktop/"/>
    </mc:Choice>
  </mc:AlternateContent>
  <xr:revisionPtr revIDLastSave="0" documentId="13_ncr:1_{408476B8-3303-FA47-B99D-5F51827567A2}" xr6:coauthVersionLast="47" xr6:coauthVersionMax="47" xr10:uidLastSave="{00000000-0000-0000-0000-000000000000}"/>
  <bookViews>
    <workbookView xWindow="0" yWindow="660" windowWidth="28960" windowHeight="15360" tabRatio="500" activeTab="1" xr2:uid="{00000000-000D-0000-FFFF-FFFF00000000}"/>
  </bookViews>
  <sheets>
    <sheet name="Income Statement" sheetId="1" r:id="rId1"/>
    <sheet name="Valuation" sheetId="3" r:id="rId2"/>
    <sheet name="2026 Budget (12-Month)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B15" i="3"/>
  <c r="B10" i="3"/>
  <c r="B16" i="3" s="1"/>
  <c r="B7" i="3"/>
  <c r="B14" i="3" s="1"/>
  <c r="B18" i="3" s="1"/>
  <c r="N21" i="2"/>
  <c r="N20" i="2"/>
  <c r="N19" i="2"/>
  <c r="N17" i="2"/>
  <c r="N15" i="2"/>
  <c r="N14" i="2"/>
  <c r="N13" i="2"/>
  <c r="N12" i="2"/>
  <c r="N11" i="2"/>
  <c r="N10" i="2"/>
  <c r="N9" i="2"/>
  <c r="N7" i="2"/>
  <c r="N6" i="2"/>
  <c r="N5" i="2"/>
  <c r="N4" i="2"/>
  <c r="N3" i="2"/>
  <c r="G41" i="1"/>
  <c r="G40" i="1"/>
  <c r="G39" i="1"/>
  <c r="G38" i="1"/>
  <c r="G37" i="1"/>
  <c r="G36" i="1"/>
  <c r="G35" i="1"/>
  <c r="H31" i="1"/>
  <c r="G31" i="1"/>
  <c r="E31" i="1"/>
  <c r="D31" i="1"/>
  <c r="H29" i="1"/>
  <c r="G29" i="1"/>
  <c r="E29" i="1"/>
  <c r="D29" i="1"/>
  <c r="H28" i="1"/>
  <c r="G28" i="1"/>
  <c r="E28" i="1"/>
  <c r="D28" i="1"/>
  <c r="H27" i="1"/>
  <c r="G27" i="1"/>
  <c r="E27" i="1"/>
  <c r="D27" i="1"/>
  <c r="H23" i="1"/>
  <c r="G23" i="1"/>
  <c r="E23" i="1"/>
  <c r="D23" i="1"/>
  <c r="H21" i="1"/>
  <c r="G21" i="1"/>
  <c r="E21" i="1"/>
  <c r="D21" i="1"/>
  <c r="H20" i="1"/>
  <c r="G20" i="1"/>
  <c r="E20" i="1"/>
  <c r="D20" i="1"/>
  <c r="H19" i="1"/>
  <c r="G19" i="1"/>
  <c r="E19" i="1"/>
  <c r="D19" i="1"/>
  <c r="H18" i="1"/>
  <c r="G18" i="1"/>
  <c r="E18" i="1"/>
  <c r="D18" i="1"/>
  <c r="H17" i="1"/>
  <c r="G17" i="1"/>
  <c r="E17" i="1"/>
  <c r="D17" i="1"/>
  <c r="H16" i="1"/>
  <c r="G16" i="1"/>
  <c r="E16" i="1"/>
  <c r="D16" i="1"/>
  <c r="H15" i="1"/>
  <c r="G15" i="1"/>
  <c r="E15" i="1"/>
  <c r="D15" i="1"/>
  <c r="H12" i="1"/>
  <c r="G12" i="1"/>
  <c r="E12" i="1"/>
  <c r="D12" i="1"/>
  <c r="H11" i="1"/>
  <c r="G11" i="1"/>
  <c r="E11" i="1"/>
  <c r="D11" i="1"/>
  <c r="H10" i="1"/>
  <c r="G10" i="1"/>
  <c r="E10" i="1"/>
  <c r="D10" i="1"/>
  <c r="H9" i="1"/>
  <c r="G9" i="1"/>
  <c r="E9" i="1"/>
  <c r="D9" i="1"/>
  <c r="H8" i="1"/>
  <c r="G8" i="1"/>
  <c r="E8" i="1"/>
  <c r="D8" i="1"/>
  <c r="H7" i="1"/>
  <c r="G7" i="1"/>
  <c r="E7" i="1"/>
  <c r="D7" i="1"/>
</calcChain>
</file>

<file path=xl/sharedStrings.xml><?xml version="1.0" encoding="utf-8"?>
<sst xmlns="http://schemas.openxmlformats.org/spreadsheetml/2006/main" count="152" uniqueCount="120">
  <si>
    <t>F &amp; W Properties Inc. — Roxster, Ltd.</t>
  </si>
  <si>
    <t>Monthly Income Statement — March 2026</t>
  </si>
  <si>
    <t>Note: March 2026 column reflects budget figures (actuals not yet available).</t>
  </si>
  <si>
    <t>Account</t>
  </si>
  <si>
    <t>Mar 2026
Budget</t>
  </si>
  <si>
    <t>Mar 2025
Actual</t>
  </si>
  <si>
    <t>Bgt vs Mar25
($)</t>
  </si>
  <si>
    <t>Bgt vs Mar25
(%)</t>
  </si>
  <si>
    <t>Mar 2024
Actual</t>
  </si>
  <si>
    <t>Mar25 vs Mar24
($)</t>
  </si>
  <si>
    <t>Mar25 vs Mar24
(%)</t>
  </si>
  <si>
    <t>OPERATING INCOME</t>
  </si>
  <si>
    <t>Rent Income</t>
  </si>
  <si>
    <t>Fee Income</t>
  </si>
  <si>
    <t>LLI Admin</t>
  </si>
  <si>
    <t>Utility Reimbursement</t>
  </si>
  <si>
    <t>Other Income</t>
  </si>
  <si>
    <t>TOTAL OPERATING INCOME</t>
  </si>
  <si>
    <t>OPERATING EXPENSE</t>
  </si>
  <si>
    <t>Administrative Expense</t>
  </si>
  <si>
    <t>Payroll</t>
  </si>
  <si>
    <t>Utilities</t>
  </si>
  <si>
    <t>Repairs &amp; Maintenance</t>
  </si>
  <si>
    <t>Taxes &amp; Insurance</t>
  </si>
  <si>
    <t>Professional Services</t>
  </si>
  <si>
    <t>TOTAL OPERATING EXPENSE</t>
  </si>
  <si>
    <t>NET OPERATING INCOME (NOI)</t>
  </si>
  <si>
    <t xml:space="preserve">  NOI Margin</t>
  </si>
  <si>
    <t>OTHER INCOME &amp; EXPENSE</t>
  </si>
  <si>
    <t>Mortgage Interest</t>
  </si>
  <si>
    <t>Capital Expenditures</t>
  </si>
  <si>
    <t>TOTAL OTHER EXPENSE</t>
  </si>
  <si>
    <t>NET INCOME (CASH FLOW)</t>
  </si>
  <si>
    <t xml:space="preserve">  Net Margin</t>
  </si>
  <si>
    <t>KEY METRICS SUMMARY</t>
  </si>
  <si>
    <t>NOI Margin</t>
  </si>
  <si>
    <t>Net Margin</t>
  </si>
  <si>
    <t>OpEx as % of Income</t>
  </si>
  <si>
    <t>Payroll as % of Income</t>
  </si>
  <si>
    <t>R&amp;M as % of Income</t>
  </si>
  <si>
    <t>Total Income ($)</t>
  </si>
  <si>
    <t>NOI ($)</t>
  </si>
  <si>
    <t>MATERIAL VARIANCE NOTES — MAR 2025 ACTUAL VS MAR 2026 BUDGET</t>
  </si>
  <si>
    <t>Line Item</t>
  </si>
  <si>
    <t>Variance</t>
  </si>
  <si>
    <t>Commentary</t>
  </si>
  <si>
    <t>$16,921 favorable vs prior year</t>
  </si>
  <si>
    <t>Mar 2025 was unusually low ($6,091). Budget of $23,012 reflects normalized run-rate. Investigate if 2025 reflects timing/deferral.</t>
  </si>
  <si>
    <t>$8,139 unfavorable vs budget</t>
  </si>
  <si>
    <t>Mar 2025 R&amp;M of $22,182 was $8,139 above budget ($14,043). Review specific work orders for non-recurring items.</t>
  </si>
  <si>
    <t>Total Operating Income</t>
  </si>
  <si>
    <t>$7,197 budget above Mar 2025</t>
  </si>
  <si>
    <t>Rent income budgeted at $105,153 vs $98,393 actual in Mar 2025, reflecting mid-year rent increases effective Jul 2026.</t>
  </si>
  <si>
    <t>NOI</t>
  </si>
  <si>
    <t>$2,086 Mar 2025 exceeded budget</t>
  </si>
  <si>
    <t>Despite lower revenue, Mar 2025 NOI of $55,365 beat budget ($53,485) primarily due to very low payroll.</t>
  </si>
  <si>
    <t>F &amp; W Properties Inc. — Roxster, Ltd. — 2026 Budget (12-Month)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</si>
  <si>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</si>
  <si>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</si>
  <si>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</si>
  <si>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</si>
  <si>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</si>
  <si>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</si>
  <si>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</si>
  <si>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</si>
  <si>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</si>
  <si>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</si>
  <si>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</si>
  <si>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</si>
  <si>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Total</t>
  </si>
  <si>
    <t>NET OPERATING INCOME</t>
  </si>
  <si>
    <t>Property Valuation — Income Approach  |  As of March 2026</t>
  </si>
  <si>
    <t>KEY ASSUMPTIONS</t>
  </si>
  <si>
    <t>Adjusted Annual NOI</t>
  </si>
  <si>
    <t>Cap Rate (est.)</t>
  </si>
  <si>
    <t>Estimated Property Value</t>
  </si>
  <si>
    <t>Outstanding Debt (Mortgage)</t>
  </si>
  <si>
    <t>Closing Cost %</t>
  </si>
  <si>
    <t>Closing Costs ($)</t>
  </si>
  <si>
    <t>Additional Cash Needs</t>
  </si>
  <si>
    <t>VALUATION BRIDGE  —  Equity Residual Calculation</t>
  </si>
  <si>
    <t>Estimated Property Value (NOI ÷ Cap Rate)</t>
  </si>
  <si>
    <t>Less: Outstanding Mortgage</t>
  </si>
  <si>
    <t>Less: Estimated Closing Costs</t>
  </si>
  <si>
    <t>Less: Additional Cash Needs</t>
  </si>
  <si>
    <t>ESTIMATED EQUITY RESIDUAL</t>
  </si>
  <si>
    <t>2026 ANNUAL CASH FLOW SUMMARY</t>
  </si>
  <si>
    <t>Budgeted Operating Income (Annual)</t>
  </si>
  <si>
    <t>Budgeted Operating Expense (Annual)</t>
  </si>
  <si>
    <t>NET OPERATING INCOME (Unadjusted)</t>
  </si>
  <si>
    <t>Adjustments to NOI</t>
  </si>
  <si>
    <t>ADJUSTED NOI  (Income Approach basis)</t>
  </si>
  <si>
    <t>Less: Mortgage Interest</t>
  </si>
  <si>
    <t>Less: Principal Reduction</t>
  </si>
  <si>
    <t>Cash Flow Before CapEx</t>
  </si>
  <si>
    <t>Less: Capital Expenditures</t>
  </si>
  <si>
    <t>PROJECTED CASH FLOW AFTER CAPEX</t>
  </si>
  <si>
    <t>VALUATION SENSITIVITY  —  Est. Property Value by NOI &amp; Cap Rate</t>
  </si>
  <si>
    <t>NOI Scenario</t>
  </si>
  <si>
    <t>Annual NOI</t>
  </si>
  <si>
    <t>Debt Coverage
Ratio</t>
  </si>
  <si>
    <t>6.0% Cap</t>
  </si>
  <si>
    <t>6.5% Cap</t>
  </si>
  <si>
    <t>7.0% Cap</t>
  </si>
  <si>
    <t>7.5% Cap</t>
  </si>
  <si>
    <t>8.0% Cap</t>
  </si>
  <si>
    <t>8.5% Cap</t>
  </si>
  <si>
    <t>Stress  (−10%)</t>
  </si>
  <si>
    <t>Base  (−5%)</t>
  </si>
  <si>
    <t>Budget</t>
  </si>
  <si>
    <t>Upside  (+5%)</t>
  </si>
  <si>
    <t>Upside  (+10%)</t>
  </si>
  <si>
    <t>EQUITY RESIDUAL SENSITIVITY  —  After Debt ($5.2M) &amp; Closing Costs (3%)</t>
  </si>
  <si>
    <t>Notes:</t>
  </si>
  <si>
    <t>• Valuation uses the Income Approach (Direct Capitalization): Estimated Value = Adjusted NOI ÷ Cap Rate.</t>
  </si>
  <si>
    <t>• Adjusted NOI reflects budgeted operating income/expense plus management adjustments (-$24,968).</t>
  </si>
  <si>
    <t>• Cap rate of 7.5% is an estimate based on current market conditions for this asset class and location.</t>
  </si>
  <si>
    <t>• Debt figure ($5.2M) is as of the valuation date; outstanding balance will decrease monthly per amortization schedule.</t>
  </si>
  <si>
    <t>• Closing costs (3%) include typical transaction costs; actual costs may vary.</t>
  </si>
  <si>
    <t>• This analysis is for internal planning purposes only and does not constitute a certified appraisal.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</si>
</sst>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#,##0.0%;\(#,##0.0%\);\-"/>
    <numFmt numFmtId="166" formatCode="0.00%;\(0.00%\);\-"/>
    <numFmt numFmtId="167" formatCode="0.0%;\(0.0%\);\-"/>
    <numFmt numFmtId="168" formatCode="0.00\x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i/>
      <sz val="10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BDD7EE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9" fillId="0" borderId="0" xfId="0" applyFont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left"/>
    </xf>
    <xf numFmtId="0" fontId="4" fillId="4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5" borderId="2" xfId="0" applyFont="1" applyFill="1" applyBorder="1" applyAlignment="1">
      <alignment horizontal="left" vertical="center"/>
    </xf>
    <xf numFmtId="164" fontId="6" fillId="5" borderId="2" xfId="0" applyNumberFormat="1" applyFont="1" applyFill="1" applyBorder="1" applyAlignment="1">
      <alignment horizontal="right" vertical="center"/>
    </xf>
    <xf numFmtId="164" fontId="3" fillId="5" borderId="2" xfId="0" applyNumberFormat="1" applyFont="1" applyFill="1" applyBorder="1" applyAlignment="1">
      <alignment horizontal="right"/>
    </xf>
    <xf numFmtId="165" fontId="3" fillId="5" borderId="2" xfId="0" applyNumberFormat="1" applyFont="1" applyFill="1" applyBorder="1" applyAlignment="1">
      <alignment horizontal="right"/>
    </xf>
    <xf numFmtId="0" fontId="3" fillId="6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3" fillId="6" borderId="2" xfId="0" applyNumberFormat="1" applyFont="1" applyFill="1" applyBorder="1" applyAlignment="1">
      <alignment horizontal="right"/>
    </xf>
    <xf numFmtId="165" fontId="3" fillId="6" borderId="2" xfId="0" applyNumberFormat="1" applyFont="1" applyFill="1" applyBorder="1" applyAlignment="1">
      <alignment horizontal="right"/>
    </xf>
    <xf numFmtId="0" fontId="2" fillId="6" borderId="0" xfId="0" applyFont="1" applyFill="1" applyAlignment="1">
      <alignment horizontal="left" vertical="center"/>
    </xf>
    <xf numFmtId="165" fontId="2" fillId="6" borderId="0" xfId="0" applyNumberFormat="1" applyFont="1" applyFill="1" applyAlignment="1">
      <alignment horizontal="right"/>
    </xf>
    <xf numFmtId="0" fontId="0" fillId="6" borderId="0" xfId="0" applyFill="1"/>
    <xf numFmtId="0" fontId="3" fillId="7" borderId="2" xfId="0" applyFont="1" applyFill="1" applyBorder="1" applyAlignment="1">
      <alignment horizontal="left" vertical="center"/>
    </xf>
    <xf numFmtId="164" fontId="6" fillId="7" borderId="2" xfId="0" applyNumberFormat="1" applyFont="1" applyFill="1" applyBorder="1" applyAlignment="1">
      <alignment horizontal="right" vertical="center"/>
    </xf>
    <xf numFmtId="164" fontId="3" fillId="7" borderId="2" xfId="0" applyNumberFormat="1" applyFont="1" applyFill="1" applyBorder="1" applyAlignment="1">
      <alignment horizontal="right"/>
    </xf>
    <xf numFmtId="165" fontId="3" fillId="7" borderId="2" xfId="0" applyNumberFormat="1" applyFont="1" applyFill="1" applyBorder="1" applyAlignment="1">
      <alignment horizontal="right"/>
    </xf>
    <xf numFmtId="0" fontId="2" fillId="7" borderId="0" xfId="0" applyFont="1" applyFill="1" applyAlignment="1">
      <alignment horizontal="left" vertical="center"/>
    </xf>
    <xf numFmtId="165" fontId="2" fillId="7" borderId="0" xfId="0" applyNumberFormat="1" applyFont="1" applyFill="1" applyAlignment="1">
      <alignment horizontal="right"/>
    </xf>
    <xf numFmtId="0" fontId="0" fillId="7" borderId="0" xfId="0" applyFill="1"/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5" fillId="8" borderId="3" xfId="0" applyNumberFormat="1" applyFont="1" applyFill="1" applyBorder="1" applyAlignment="1">
      <alignment horizontal="right"/>
    </xf>
    <xf numFmtId="166" fontId="5" fillId="8" borderId="3" xfId="0" applyNumberFormat="1" applyFont="1" applyFill="1" applyBorder="1" applyAlignment="1">
      <alignment horizontal="right"/>
    </xf>
    <xf numFmtId="167" fontId="5" fillId="8" borderId="3" xfId="0" applyNumberFormat="1" applyFont="1" applyFill="1" applyBorder="1" applyAlignment="1">
      <alignment horizontal="right"/>
    </xf>
    <xf numFmtId="0" fontId="4" fillId="7" borderId="0" xfId="0" applyFont="1" applyFill="1" applyAlignment="1">
      <alignment horizontal="left" vertical="center" indent="1"/>
    </xf>
    <xf numFmtId="164" fontId="4" fillId="7" borderId="0" xfId="0" applyNumberFormat="1" applyFont="1" applyFill="1" applyAlignment="1">
      <alignment horizontal="right"/>
    </xf>
    <xf numFmtId="0" fontId="4" fillId="7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164" fontId="8" fillId="9" borderId="4" xfId="0" applyNumberFormat="1" applyFont="1" applyFill="1" applyBorder="1" applyAlignment="1">
      <alignment horizontal="right"/>
    </xf>
    <xf numFmtId="0" fontId="4" fillId="9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left" vertical="center" indent="1"/>
    </xf>
    <xf numFmtId="164" fontId="5" fillId="3" borderId="0" xfId="0" applyNumberFormat="1" applyFont="1" applyFill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 vertical="center"/>
    </xf>
    <xf numFmtId="164" fontId="4" fillId="6" borderId="0" xfId="0" applyNumberFormat="1" applyFont="1" applyFill="1" applyAlignment="1">
      <alignment horizontal="right"/>
    </xf>
    <xf numFmtId="164" fontId="4" fillId="10" borderId="0" xfId="0" applyNumberFormat="1" applyFont="1" applyFill="1" applyAlignment="1">
      <alignment horizontal="right"/>
    </xf>
    <xf numFmtId="0" fontId="3" fillId="9" borderId="0" xfId="0" applyFont="1" applyFill="1" applyAlignment="1">
      <alignment horizontal="left" vertical="center" indent="1"/>
    </xf>
    <xf numFmtId="164" fontId="6" fillId="9" borderId="0" xfId="0" applyNumberFormat="1" applyFont="1" applyFill="1" applyAlignment="1">
      <alignment horizontal="right"/>
    </xf>
    <xf numFmtId="168" fontId="3" fillId="9" borderId="0" xfId="0" applyNumberFormat="1" applyFont="1" applyFill="1" applyAlignment="1">
      <alignment horizontal="center"/>
    </xf>
    <xf numFmtId="164" fontId="3" fillId="9" borderId="0" xfId="0" applyNumberFormat="1" applyFont="1" applyFill="1" applyAlignment="1">
      <alignment horizontal="righ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baseColWidth="10" defaultColWidth="8.6640625" defaultRowHeight="15" customHeight="1" x14ac:dyDescent="0.2"/>
  <cols>
    <col min="1" max="1" width="34" customWidth="1"/>
    <col min="2" max="3" width="15" customWidth="1"/>
    <col min="4" max="4" width="14" customWidth="1"/>
    <col min="5" max="5" width="12" customWidth="1"/>
    <col min="6" max="6" width="15" customWidth="1"/>
    <col min="7" max="7" width="14" customWidth="1"/>
    <col min="8" max="8" width="12" customWidth="1"/>
  </cols>
  <sheetData>
    <row r="1" spans="1:8" ht="21.75" customHeight="1" x14ac:dyDescent="0.2">
      <c r="A1" s="7" t="s">
        <v>0</v>
      </c>
      <c r="B1" s="8"/>
      <c r="C1" s="8"/>
      <c r="D1" s="8"/>
      <c r="E1" s="8"/>
      <c r="F1" s="8"/>
      <c r="G1" s="8"/>
      <c r="H1" s="8"/>
    </row>
    <row r="2" spans="1:8" ht="18" customHeight="1" x14ac:dyDescent="0.2">
      <c r="A2" s="7" t="s">
        <v>1</v>
      </c>
      <c r="B2" s="8"/>
      <c r="C2" s="8"/>
      <c r="D2" s="8"/>
      <c r="E2" s="8"/>
      <c r="F2" s="8"/>
      <c r="G2" s="8"/>
      <c r="H2" s="8"/>
    </row>
    <row r="3" spans="1:8" ht="13.5" customHeight="1" x14ac:dyDescent="0.2">
      <c r="A3" s="9" t="s">
        <v>2</v>
      </c>
    </row>
    <row r="5" spans="1:8" ht="30" customHeight="1" x14ac:dyDescent="0.2">
      <c r="A5" s="10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11" t="s">
        <v>8</v>
      </c>
      <c r="G5" s="11" t="s">
        <v>9</v>
      </c>
      <c r="H5" s="11" t="s">
        <v>10</v>
      </c>
    </row>
    <row r="6" spans="1:8" x14ac:dyDescent="0.2">
      <c r="A6" s="12" t="s">
        <v>11</v>
      </c>
      <c r="B6" s="13"/>
      <c r="C6" s="13"/>
      <c r="D6" s="13"/>
      <c r="E6" s="13"/>
      <c r="F6" s="13"/>
      <c r="G6" s="13"/>
      <c r="H6" s="13"/>
    </row>
    <row r="7" spans="1:8" x14ac:dyDescent="0.2">
      <c r="A7" s="14" t="s">
        <v>12</v>
      </c>
      <c r="B7" s="15">
        <v>105153.4</v>
      </c>
      <c r="C7" s="15">
        <v>98392.77</v>
      </c>
      <c r="D7" s="16">
        <f t="shared" ref="D7:D12" si="0">B7-C7</f>
        <v>6760.6299999999901</v>
      </c>
      <c r="E7" s="17">
        <f t="shared" ref="E7:E12" si="1">IFERROR((B7-C7)/ABS(C7),"-")</f>
        <v>6.8710637986917025E-2</v>
      </c>
      <c r="F7" s="15">
        <v>99998.7</v>
      </c>
      <c r="G7" s="16">
        <f t="shared" ref="G7:G12" si="2">C7-F7</f>
        <v>-1605.929999999993</v>
      </c>
      <c r="H7" s="17">
        <f t="shared" ref="H7:H12" si="3">IFERROR((C7-F7)/ABS(F7),"-")</f>
        <v>-1.6059508773613989E-2</v>
      </c>
    </row>
    <row r="8" spans="1:8" x14ac:dyDescent="0.2">
      <c r="A8" s="14" t="s">
        <v>13</v>
      </c>
      <c r="B8" s="15">
        <v>863</v>
      </c>
      <c r="C8" s="15">
        <v>918</v>
      </c>
      <c r="D8" s="16">
        <f t="shared" si="0"/>
        <v>-55</v>
      </c>
      <c r="E8" s="17">
        <f t="shared" si="1"/>
        <v>-5.9912854030501089E-2</v>
      </c>
      <c r="F8" s="15">
        <v>501.12</v>
      </c>
      <c r="G8" s="16">
        <f t="shared" si="2"/>
        <v>416.88</v>
      </c>
      <c r="H8" s="17">
        <f t="shared" si="3"/>
        <v>0.8318965517241379</v>
      </c>
    </row>
    <row r="9" spans="1:8" x14ac:dyDescent="0.2">
      <c r="A9" s="14" t="s">
        <v>14</v>
      </c>
      <c r="B9" s="15">
        <v>0</v>
      </c>
      <c r="C9" s="15">
        <v>100.5</v>
      </c>
      <c r="D9" s="16">
        <f t="shared" si="0"/>
        <v>-100.5</v>
      </c>
      <c r="E9" s="17">
        <f t="shared" si="1"/>
        <v>-1</v>
      </c>
      <c r="F9" s="15">
        <v>42</v>
      </c>
      <c r="G9" s="16">
        <f t="shared" si="2"/>
        <v>58.5</v>
      </c>
      <c r="H9" s="17">
        <f t="shared" si="3"/>
        <v>1.3928571428571428</v>
      </c>
    </row>
    <row r="10" spans="1:8" x14ac:dyDescent="0.2">
      <c r="A10" s="14" t="s">
        <v>15</v>
      </c>
      <c r="B10" s="15">
        <v>3450</v>
      </c>
      <c r="C10" s="15">
        <v>3423.44</v>
      </c>
      <c r="D10" s="16">
        <f t="shared" si="0"/>
        <v>26.559999999999945</v>
      </c>
      <c r="E10" s="17">
        <f t="shared" si="1"/>
        <v>7.7582782230738515E-3</v>
      </c>
      <c r="F10" s="15">
        <v>3602.12</v>
      </c>
      <c r="G10" s="16">
        <f t="shared" si="2"/>
        <v>-178.67999999999984</v>
      </c>
      <c r="H10" s="17">
        <f t="shared" si="3"/>
        <v>-4.9604122017034367E-2</v>
      </c>
    </row>
    <row r="11" spans="1:8" x14ac:dyDescent="0.2">
      <c r="A11" s="14" t="s">
        <v>16</v>
      </c>
      <c r="B11" s="15">
        <v>772</v>
      </c>
      <c r="C11" s="15">
        <v>206.25</v>
      </c>
      <c r="D11" s="16">
        <f t="shared" si="0"/>
        <v>565.75</v>
      </c>
      <c r="E11" s="17">
        <f t="shared" si="1"/>
        <v>2.7430303030303032</v>
      </c>
      <c r="F11" s="15">
        <v>837.73</v>
      </c>
      <c r="G11" s="16">
        <f t="shared" si="2"/>
        <v>-631.48</v>
      </c>
      <c r="H11" s="17">
        <f t="shared" si="3"/>
        <v>-0.75379895670442743</v>
      </c>
    </row>
    <row r="12" spans="1:8" x14ac:dyDescent="0.2">
      <c r="A12" s="18" t="s">
        <v>17</v>
      </c>
      <c r="B12" s="19">
        <v>110238.39999999999</v>
      </c>
      <c r="C12" s="19">
        <v>103040.96000000001</v>
      </c>
      <c r="D12" s="20">
        <f t="shared" si="0"/>
        <v>7197.4399999999878</v>
      </c>
      <c r="E12" s="21">
        <f t="shared" si="1"/>
        <v>6.9850280898003936E-2</v>
      </c>
      <c r="F12" s="19">
        <v>104981.67</v>
      </c>
      <c r="G12" s="20">
        <f t="shared" si="2"/>
        <v>-1940.7099999999919</v>
      </c>
      <c r="H12" s="21">
        <f t="shared" si="3"/>
        <v>-1.8486179539723382E-2</v>
      </c>
    </row>
    <row r="14" spans="1:8" x14ac:dyDescent="0.2">
      <c r="A14" s="12" t="s">
        <v>18</v>
      </c>
      <c r="B14" s="13"/>
      <c r="C14" s="13"/>
      <c r="D14" s="13"/>
      <c r="E14" s="13"/>
      <c r="F14" s="13"/>
      <c r="G14" s="13"/>
      <c r="H14" s="13"/>
    </row>
    <row r="15" spans="1:8" x14ac:dyDescent="0.2">
      <c r="A15" s="14" t="s">
        <v>19</v>
      </c>
      <c r="B15" s="15">
        <v>118</v>
      </c>
      <c r="C15" s="15">
        <v>347.78</v>
      </c>
      <c r="D15" s="16">
        <f t="shared" ref="D15:D21" si="4">B15-C15</f>
        <v>-229.77999999999997</v>
      </c>
      <c r="E15" s="17">
        <f t="shared" ref="E15:E21" si="5">IFERROR((B15-C15)/ABS(C15),"-")</f>
        <v>-0.66070504341825287</v>
      </c>
      <c r="F15" s="15">
        <v>413.35</v>
      </c>
      <c r="G15" s="16">
        <f t="shared" ref="G15:G21" si="6">C15-F15</f>
        <v>-65.57000000000005</v>
      </c>
      <c r="H15" s="17">
        <f t="shared" ref="H15:H21" si="7">IFERROR((C15-F15)/ABS(F15),"-")</f>
        <v>-0.158630700374985</v>
      </c>
    </row>
    <row r="16" spans="1:8" x14ac:dyDescent="0.2">
      <c r="A16" s="14" t="s">
        <v>20</v>
      </c>
      <c r="B16" s="15">
        <v>23012</v>
      </c>
      <c r="C16" s="15">
        <v>6090.91</v>
      </c>
      <c r="D16" s="16">
        <f t="shared" si="4"/>
        <v>16921.09</v>
      </c>
      <c r="E16" s="17">
        <f t="shared" si="5"/>
        <v>2.7780889883449271</v>
      </c>
      <c r="F16" s="15">
        <v>28958.45</v>
      </c>
      <c r="G16" s="16">
        <f t="shared" si="6"/>
        <v>-22867.54</v>
      </c>
      <c r="H16" s="17">
        <f t="shared" si="7"/>
        <v>-0.78966726464986903</v>
      </c>
    </row>
    <row r="17" spans="1:8" x14ac:dyDescent="0.2">
      <c r="A17" s="14" t="s">
        <v>21</v>
      </c>
      <c r="B17" s="15">
        <v>6174</v>
      </c>
      <c r="C17" s="15">
        <v>7112.29</v>
      </c>
      <c r="D17" s="16">
        <f t="shared" si="4"/>
        <v>-938.29</v>
      </c>
      <c r="E17" s="17">
        <f t="shared" si="5"/>
        <v>-0.13192516053198056</v>
      </c>
      <c r="F17" s="15">
        <v>10494.98</v>
      </c>
      <c r="G17" s="16">
        <f t="shared" si="6"/>
        <v>-3382.6899999999996</v>
      </c>
      <c r="H17" s="17">
        <f t="shared" si="7"/>
        <v>-0.32231504967136665</v>
      </c>
    </row>
    <row r="18" spans="1:8" x14ac:dyDescent="0.2">
      <c r="A18" s="14" t="s">
        <v>22</v>
      </c>
      <c r="B18" s="15">
        <v>14043</v>
      </c>
      <c r="C18" s="15">
        <v>22182.18</v>
      </c>
      <c r="D18" s="16">
        <f t="shared" si="4"/>
        <v>-8139.18</v>
      </c>
      <c r="E18" s="17">
        <f t="shared" si="5"/>
        <v>-0.36692426082558161</v>
      </c>
      <c r="F18" s="15">
        <v>12036.72</v>
      </c>
      <c r="G18" s="16">
        <f t="shared" si="6"/>
        <v>10145.460000000001</v>
      </c>
      <c r="H18" s="17">
        <f t="shared" si="7"/>
        <v>0.84287580005184148</v>
      </c>
    </row>
    <row r="19" spans="1:8" x14ac:dyDescent="0.2">
      <c r="A19" s="14" t="s">
        <v>23</v>
      </c>
      <c r="B19" s="15">
        <v>7112</v>
      </c>
      <c r="C19" s="15">
        <v>4793.41</v>
      </c>
      <c r="D19" s="16">
        <f t="shared" si="4"/>
        <v>2318.59</v>
      </c>
      <c r="E19" s="17">
        <f t="shared" si="5"/>
        <v>0.48370366816107951</v>
      </c>
      <c r="F19" s="15">
        <v>4936.2</v>
      </c>
      <c r="G19" s="16">
        <f t="shared" si="6"/>
        <v>-142.78999999999996</v>
      </c>
      <c r="H19" s="17">
        <f t="shared" si="7"/>
        <v>-2.8927109922612531E-2</v>
      </c>
    </row>
    <row r="20" spans="1:8" x14ac:dyDescent="0.2">
      <c r="A20" s="14" t="s">
        <v>24</v>
      </c>
      <c r="B20" s="15">
        <v>6294.62</v>
      </c>
      <c r="C20" s="15">
        <v>6943.5</v>
      </c>
      <c r="D20" s="16">
        <f t="shared" si="4"/>
        <v>-648.88000000000011</v>
      </c>
      <c r="E20" s="17">
        <f t="shared" si="5"/>
        <v>-9.3451429394397656E-2</v>
      </c>
      <c r="F20" s="15">
        <v>5136.9399999999996</v>
      </c>
      <c r="G20" s="16">
        <f t="shared" si="6"/>
        <v>1806.5600000000004</v>
      </c>
      <c r="H20" s="17">
        <f t="shared" si="7"/>
        <v>0.35168018314405086</v>
      </c>
    </row>
    <row r="21" spans="1:8" x14ac:dyDescent="0.2">
      <c r="A21" s="18" t="s">
        <v>25</v>
      </c>
      <c r="B21" s="19">
        <v>56753.62</v>
      </c>
      <c r="C21" s="19">
        <v>47470.07</v>
      </c>
      <c r="D21" s="20">
        <f t="shared" si="4"/>
        <v>9283.5500000000029</v>
      </c>
      <c r="E21" s="21">
        <f t="shared" si="5"/>
        <v>0.19556638530341336</v>
      </c>
      <c r="F21" s="19">
        <v>61976.639999999999</v>
      </c>
      <c r="G21" s="20">
        <f t="shared" si="6"/>
        <v>-14506.57</v>
      </c>
      <c r="H21" s="21">
        <f t="shared" si="7"/>
        <v>-0.23406512518264946</v>
      </c>
    </row>
    <row r="23" spans="1:8" x14ac:dyDescent="0.2">
      <c r="A23" s="22" t="s">
        <v>26</v>
      </c>
      <c r="B23" s="23">
        <v>53484.78</v>
      </c>
      <c r="C23" s="23">
        <v>55570.89</v>
      </c>
      <c r="D23" s="24">
        <f>B23-C23</f>
        <v>-2086.1100000000006</v>
      </c>
      <c r="E23" s="25">
        <f>IFERROR((B23-C23)/ABS(C23),"-")</f>
        <v>-3.7539618314552825E-2</v>
      </c>
      <c r="F23" s="23">
        <v>43005.03</v>
      </c>
      <c r="G23" s="24">
        <f>C23-F23</f>
        <v>12565.86</v>
      </c>
      <c r="H23" s="25">
        <f>IFERROR((C23-F23)/ABS(F23),"-")</f>
        <v>0.29219512229150874</v>
      </c>
    </row>
    <row r="24" spans="1:8" x14ac:dyDescent="0.2">
      <c r="A24" s="26" t="s">
        <v>27</v>
      </c>
      <c r="B24" s="27">
        <v>0.48517376885005598</v>
      </c>
      <c r="C24" s="27">
        <v>0.53930873703040005</v>
      </c>
      <c r="D24" s="28"/>
      <c r="E24" s="28"/>
      <c r="F24" s="27">
        <v>0.40964322628893202</v>
      </c>
      <c r="G24" s="28"/>
      <c r="H24" s="28"/>
    </row>
    <row r="26" spans="1:8" x14ac:dyDescent="0.2">
      <c r="A26" s="12" t="s">
        <v>28</v>
      </c>
      <c r="B26" s="13"/>
      <c r="C26" s="13"/>
      <c r="D26" s="13"/>
      <c r="E26" s="13"/>
      <c r="F26" s="13"/>
      <c r="G26" s="13"/>
      <c r="H26" s="13"/>
    </row>
    <row r="27" spans="1:8" x14ac:dyDescent="0.2">
      <c r="A27" s="14" t="s">
        <v>29</v>
      </c>
      <c r="B27" s="15">
        <v>18297.95</v>
      </c>
      <c r="C27" s="15">
        <v>18815.400000000001</v>
      </c>
      <c r="D27" s="16">
        <f>B27-C27</f>
        <v>-517.45000000000073</v>
      </c>
      <c r="E27" s="17">
        <f>IFERROR((B27-C27)/ABS(C27),"-")</f>
        <v>-2.7501408420761753E-2</v>
      </c>
      <c r="F27" s="15">
        <v>18908.73</v>
      </c>
      <c r="G27" s="16">
        <f>C27-F27</f>
        <v>-93.329999999998108</v>
      </c>
      <c r="H27" s="17">
        <f>IFERROR((C27-F27)/ABS(F27),"-")</f>
        <v>-4.9358153614757899E-3</v>
      </c>
    </row>
    <row r="28" spans="1:8" x14ac:dyDescent="0.2">
      <c r="A28" s="14" t="s">
        <v>30</v>
      </c>
      <c r="B28" s="15">
        <v>20000</v>
      </c>
      <c r="C28" s="15">
        <v>0</v>
      </c>
      <c r="D28" s="16">
        <f>B28-C28</f>
        <v>20000</v>
      </c>
      <c r="E28" s="17" t="str">
        <f>IFERROR((B28-C28)/ABS(C28),"-")</f>
        <v>-</v>
      </c>
      <c r="F28" s="15">
        <v>0</v>
      </c>
      <c r="G28" s="16">
        <f>C28-F28</f>
        <v>0</v>
      </c>
      <c r="H28" s="17" t="str">
        <f>IFERROR((C28-F28)/ABS(F28),"-")</f>
        <v>-</v>
      </c>
    </row>
    <row r="29" spans="1:8" x14ac:dyDescent="0.2">
      <c r="A29" s="18" t="s">
        <v>31</v>
      </c>
      <c r="B29" s="19">
        <v>38297.949999999997</v>
      </c>
      <c r="C29" s="19">
        <v>18815.400000000001</v>
      </c>
      <c r="D29" s="20">
        <f>B29-C29</f>
        <v>19482.549999999996</v>
      </c>
      <c r="E29" s="21">
        <f>IFERROR((B29-C29)/ABS(C29),"-")</f>
        <v>1.0354576570256275</v>
      </c>
      <c r="F29" s="19">
        <v>18908.73</v>
      </c>
      <c r="G29" s="20">
        <f>C29-F29</f>
        <v>-93.329999999998108</v>
      </c>
      <c r="H29" s="21">
        <f>IFERROR((C29-F29)/ABS(F29),"-")</f>
        <v>-4.9358153614757899E-3</v>
      </c>
    </row>
    <row r="31" spans="1:8" x14ac:dyDescent="0.2">
      <c r="A31" s="29" t="s">
        <v>32</v>
      </c>
      <c r="B31" s="30">
        <v>15186.83</v>
      </c>
      <c r="C31" s="30">
        <v>36755.49</v>
      </c>
      <c r="D31" s="31">
        <f>B31-C31</f>
        <v>-21568.659999999996</v>
      </c>
      <c r="E31" s="32">
        <f>IFERROR((B31-C31)/ABS(C31),"-")</f>
        <v>-0.58681465000194521</v>
      </c>
      <c r="F31" s="30">
        <v>24096.3</v>
      </c>
      <c r="G31" s="31">
        <f>C31-F31</f>
        <v>12659.189999999999</v>
      </c>
      <c r="H31" s="32">
        <f>IFERROR((C31-F31)/ABS(F31),"-")</f>
        <v>0.52535825002178749</v>
      </c>
    </row>
    <row r="32" spans="1:8" x14ac:dyDescent="0.2">
      <c r="A32" s="33" t="s">
        <v>33</v>
      </c>
      <c r="B32" s="34">
        <v>0.137763519789837</v>
      </c>
      <c r="C32" s="34">
        <v>0.35670756561274303</v>
      </c>
      <c r="D32" s="35"/>
      <c r="E32" s="35"/>
      <c r="F32" s="34">
        <v>0.22952864057125399</v>
      </c>
      <c r="G32" s="35"/>
      <c r="H32" s="35"/>
    </row>
    <row r="34" spans="1:8" x14ac:dyDescent="0.2">
      <c r="A34" s="12" t="s">
        <v>34</v>
      </c>
      <c r="B34" s="13"/>
      <c r="C34" s="13"/>
      <c r="D34" s="13"/>
      <c r="E34" s="13"/>
      <c r="F34" s="13"/>
      <c r="G34" s="13"/>
      <c r="H34" s="13"/>
    </row>
    <row r="35" spans="1:8" x14ac:dyDescent="0.2">
      <c r="A35" s="14" t="s">
        <v>35</v>
      </c>
      <c r="B35" s="36">
        <v>0.48517376885005598</v>
      </c>
      <c r="C35" s="36">
        <v>0.53930873703040005</v>
      </c>
      <c r="F35" s="36">
        <v>0.40964322628893202</v>
      </c>
      <c r="G35" s="17">
        <f t="shared" ref="G35:G41" si="8">IFERROR(C35-F35,"-")</f>
        <v>0.12966551074146804</v>
      </c>
    </row>
    <row r="36" spans="1:8" x14ac:dyDescent="0.2">
      <c r="A36" s="14" t="s">
        <v>36</v>
      </c>
      <c r="B36" s="36">
        <v>0.137763519789837</v>
      </c>
      <c r="C36" s="36">
        <v>0.35670756561274303</v>
      </c>
      <c r="F36" s="36">
        <v>0.22952864057125399</v>
      </c>
      <c r="G36" s="17">
        <f t="shared" si="8"/>
        <v>0.12717892504148903</v>
      </c>
    </row>
    <row r="37" spans="1:8" x14ac:dyDescent="0.2">
      <c r="A37" s="14" t="s">
        <v>37</v>
      </c>
      <c r="B37" s="36">
        <v>0.51482623114994397</v>
      </c>
      <c r="C37" s="36">
        <v>0.4606912629696</v>
      </c>
      <c r="F37" s="36">
        <v>0.59035677371106798</v>
      </c>
      <c r="G37" s="17">
        <f t="shared" si="8"/>
        <v>-0.12966551074146798</v>
      </c>
    </row>
    <row r="38" spans="1:8" x14ac:dyDescent="0.2">
      <c r="A38" s="14" t="s">
        <v>38</v>
      </c>
      <c r="B38" s="36">
        <v>0.20874758704770799</v>
      </c>
      <c r="C38" s="36">
        <v>5.9111541662655302E-2</v>
      </c>
      <c r="F38" s="36">
        <v>0.27584291619670398</v>
      </c>
      <c r="G38" s="17">
        <f t="shared" si="8"/>
        <v>-0.21673137453404867</v>
      </c>
    </row>
    <row r="39" spans="1:8" x14ac:dyDescent="0.2">
      <c r="A39" s="14" t="s">
        <v>39</v>
      </c>
      <c r="B39" s="36">
        <v>0.12738755279467101</v>
      </c>
      <c r="C39" s="36">
        <v>0.21527536234134501</v>
      </c>
      <c r="F39" s="36">
        <v>0.114655444136105</v>
      </c>
      <c r="G39" s="17">
        <f t="shared" si="8"/>
        <v>0.10061991820524001</v>
      </c>
    </row>
    <row r="40" spans="1:8" x14ac:dyDescent="0.2">
      <c r="A40" s="14" t="s">
        <v>40</v>
      </c>
      <c r="B40" s="37">
        <v>110238.39999999999</v>
      </c>
      <c r="C40" s="37">
        <v>103040.96000000001</v>
      </c>
      <c r="F40" s="37">
        <v>104981.67</v>
      </c>
      <c r="G40" s="16">
        <f t="shared" si="8"/>
        <v>-1940.7099999999919</v>
      </c>
    </row>
    <row r="41" spans="1:8" x14ac:dyDescent="0.2">
      <c r="A41" s="14" t="s">
        <v>41</v>
      </c>
      <c r="B41" s="37">
        <v>53484.78</v>
      </c>
      <c r="C41" s="37">
        <v>55570.89</v>
      </c>
      <c r="F41" s="37">
        <v>43005.03</v>
      </c>
      <c r="G41" s="16">
        <f t="shared" si="8"/>
        <v>12565.86</v>
      </c>
    </row>
    <row r="44" spans="1:8" x14ac:dyDescent="0.2">
      <c r="A44" s="12" t="s">
        <v>42</v>
      </c>
      <c r="B44" s="13"/>
      <c r="C44" s="13"/>
      <c r="D44" s="13"/>
      <c r="E44" s="13"/>
      <c r="F44" s="13"/>
      <c r="G44" s="13"/>
      <c r="H44" s="13"/>
    </row>
    <row r="45" spans="1:8" x14ac:dyDescent="0.2">
      <c r="A45" s="10" t="s">
        <v>43</v>
      </c>
      <c r="B45" s="10" t="s">
        <v>44</v>
      </c>
      <c r="C45" s="6" t="s">
        <v>45</v>
      </c>
      <c r="D45" s="6"/>
      <c r="E45" s="6"/>
      <c r="F45" s="6"/>
      <c r="G45" s="6"/>
      <c r="H45" s="6"/>
    </row>
    <row r="46" spans="1:8" ht="30" customHeight="1" x14ac:dyDescent="0.2">
      <c r="A46" s="14" t="s">
        <v>20</v>
      </c>
      <c r="B46" s="38" t="s">
        <v>46</v>
      </c>
      <c r="C46" s="5" t="s">
        <v>47</v>
      </c>
      <c r="D46" s="5"/>
      <c r="E46" s="5"/>
      <c r="F46" s="5"/>
      <c r="G46" s="5"/>
      <c r="H46" s="5"/>
    </row>
    <row r="47" spans="1:8" ht="30" customHeight="1" x14ac:dyDescent="0.2">
      <c r="A47" s="14" t="s">
        <v>22</v>
      </c>
      <c r="B47" s="38" t="s">
        <v>48</v>
      </c>
      <c r="C47" s="5" t="s">
        <v>49</v>
      </c>
      <c r="D47" s="5"/>
      <c r="E47" s="5"/>
      <c r="F47" s="5"/>
      <c r="G47" s="5"/>
      <c r="H47" s="5"/>
    </row>
    <row r="48" spans="1:8" ht="30" customHeight="1" x14ac:dyDescent="0.2">
      <c r="A48" s="14" t="s">
        <v>50</v>
      </c>
      <c r="B48" s="38" t="s">
        <v>51</v>
      </c>
      <c r="C48" s="5" t="s">
        <v>52</v>
      </c>
      <c r="D48" s="5"/>
      <c r="E48" s="5"/>
      <c r="F48" s="5"/>
      <c r="G48" s="5"/>
      <c r="H48" s="5"/>
    </row>
    <row r="49" spans="1:8" ht="30" customHeight="1" x14ac:dyDescent="0.2">
      <c r="A49" s="14" t="s">
        <v>53</v>
      </c>
      <c r="B49" s="38" t="s">
        <v>54</v>
      </c>
      <c r="C49" s="5" t="s">
        <v>55</v>
      </c>
      <c r="D49" s="5"/>
      <c r="E49" s="5"/>
      <c r="F49" s="5"/>
      <c r="G49" s="5"/>
      <c r="H49" s="5"/>
    </row>
  </sheetData>
  <mergeCells count="5">
    <mergeCell ref="C45:H45"/>
    <mergeCell ref="C46:H46"/>
    <mergeCell ref="C47:H47"/>
    <mergeCell ref="C48:H48"/>
    <mergeCell ref="C49:H4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showGridLines="0" tabSelected="1" zoomScaleNormal="100" workbookViewId="0">
      <pane ySplit="3" topLeftCell="A12" activePane="bottomLeft" state="frozen"/>
      <selection pane="bottomLeft" activeCell="B35" sqref="B35"/>
    </sheetView>
  </sheetViews>
  <sheetFormatPr baseColWidth="10" defaultColWidth="8.6640625" defaultRowHeight="15" customHeight="1" x14ac:dyDescent="0.2"/>
  <cols>
    <col min="1" max="1" width="32" customWidth="1"/>
    <col min="2" max="2" width="18" customWidth="1"/>
    <col min="3" max="3" width="14" customWidth="1"/>
    <col min="4" max="4" width="5" customWidth="1"/>
    <col min="5" max="10" width="14" customWidth="1"/>
  </cols>
  <sheetData>
    <row r="1" spans="1:10" ht="24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 x14ac:dyDescent="0.2">
      <c r="A2" s="4" t="s">
        <v>71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">
      <c r="A4" s="2" t="s">
        <v>72</v>
      </c>
      <c r="B4" s="2"/>
      <c r="C4" s="2"/>
    </row>
    <row r="5" spans="1:10" x14ac:dyDescent="0.2">
      <c r="A5" s="14" t="s">
        <v>73</v>
      </c>
      <c r="B5" s="41">
        <v>628654.12</v>
      </c>
    </row>
    <row r="6" spans="1:10" x14ac:dyDescent="0.2">
      <c r="A6" s="14" t="s">
        <v>74</v>
      </c>
      <c r="B6" s="42">
        <v>7.4999999999999997E-2</v>
      </c>
    </row>
    <row r="7" spans="1:10" x14ac:dyDescent="0.2">
      <c r="A7" s="14" t="s">
        <v>75</v>
      </c>
      <c r="B7" s="24">
        <f>B5/B6</f>
        <v>8382054.9333333336</v>
      </c>
    </row>
    <row r="8" spans="1:10" x14ac:dyDescent="0.2">
      <c r="A8" s="14" t="s">
        <v>76</v>
      </c>
      <c r="B8" s="41">
        <v>5200000</v>
      </c>
    </row>
    <row r="9" spans="1:10" x14ac:dyDescent="0.2">
      <c r="A9" s="14" t="s">
        <v>77</v>
      </c>
      <c r="B9" s="43">
        <v>0.03</v>
      </c>
    </row>
    <row r="10" spans="1:10" x14ac:dyDescent="0.2">
      <c r="A10" s="14" t="s">
        <v>78</v>
      </c>
      <c r="B10" s="24">
        <f>-B6*B9</f>
        <v>-2.2499999999999998E-3</v>
      </c>
    </row>
    <row r="11" spans="1:10" x14ac:dyDescent="0.2">
      <c r="A11" s="14" t="s">
        <v>79</v>
      </c>
      <c r="B11" s="41">
        <v>0</v>
      </c>
    </row>
    <row r="13" spans="1:10" x14ac:dyDescent="0.2">
      <c r="A13" s="2" t="s">
        <v>80</v>
      </c>
      <c r="B13" s="2"/>
      <c r="C13" s="2"/>
    </row>
    <row r="14" spans="1:10" x14ac:dyDescent="0.2">
      <c r="A14" s="44" t="s">
        <v>81</v>
      </c>
      <c r="B14" s="45">
        <f>B7</f>
        <v>8382054.9333333336</v>
      </c>
      <c r="C14" s="46"/>
    </row>
    <row r="15" spans="1:10" x14ac:dyDescent="0.2">
      <c r="A15" s="14" t="s">
        <v>82</v>
      </c>
      <c r="B15" s="16">
        <f>-B8</f>
        <v>-5200000</v>
      </c>
    </row>
    <row r="16" spans="1:10" x14ac:dyDescent="0.2">
      <c r="A16" s="14" t="s">
        <v>83</v>
      </c>
      <c r="B16" s="16">
        <f>B10</f>
        <v>-2.2499999999999998E-3</v>
      </c>
    </row>
    <row r="17" spans="1:3" x14ac:dyDescent="0.2">
      <c r="A17" s="14" t="s">
        <v>84</v>
      </c>
      <c r="B17" s="16">
        <f>-B11</f>
        <v>0</v>
      </c>
    </row>
    <row r="18" spans="1:3" x14ac:dyDescent="0.2">
      <c r="A18" s="47" t="s">
        <v>85</v>
      </c>
      <c r="B18" s="48">
        <f>B14+B15+B16+B17</f>
        <v>3182054.9310833337</v>
      </c>
      <c r="C18" s="49"/>
    </row>
    <row r="20" spans="1:3" x14ac:dyDescent="0.2">
      <c r="A20" s="2" t="s">
        <v>86</v>
      </c>
      <c r="B20" s="2"/>
      <c r="C20" s="2"/>
    </row>
    <row r="21" spans="1:3" x14ac:dyDescent="0.2">
      <c r="A21" s="50" t="s">
        <v>87</v>
      </c>
      <c r="B21" s="51">
        <v>1335286.8600000001</v>
      </c>
    </row>
    <row r="22" spans="1:3" x14ac:dyDescent="0.2">
      <c r="A22" s="50" t="s">
        <v>88</v>
      </c>
      <c r="B22" s="51">
        <v>-706632.74</v>
      </c>
    </row>
    <row r="23" spans="1:3" x14ac:dyDescent="0.2">
      <c r="A23" s="22" t="s">
        <v>89</v>
      </c>
      <c r="B23" s="24">
        <v>653622.12</v>
      </c>
    </row>
    <row r="24" spans="1:3" x14ac:dyDescent="0.2">
      <c r="A24" s="14" t="s">
        <v>90</v>
      </c>
      <c r="B24" s="37">
        <v>-24968</v>
      </c>
    </row>
    <row r="25" spans="1:3" x14ac:dyDescent="0.2">
      <c r="A25" s="22" t="s">
        <v>91</v>
      </c>
      <c r="B25" s="24">
        <v>628654.12</v>
      </c>
    </row>
    <row r="27" spans="1:3" x14ac:dyDescent="0.2">
      <c r="A27" s="14" t="s">
        <v>92</v>
      </c>
      <c r="B27" s="37">
        <v>-219198.56</v>
      </c>
    </row>
    <row r="28" spans="1:3" x14ac:dyDescent="0.2">
      <c r="A28" s="14" t="s">
        <v>93</v>
      </c>
      <c r="B28" s="37">
        <v>-23468.080000000002</v>
      </c>
    </row>
    <row r="29" spans="1:3" x14ac:dyDescent="0.2">
      <c r="A29" s="18" t="s">
        <v>94</v>
      </c>
      <c r="B29" s="20">
        <v>385987.48</v>
      </c>
    </row>
    <row r="30" spans="1:3" x14ac:dyDescent="0.2">
      <c r="A30" s="14" t="s">
        <v>95</v>
      </c>
      <c r="B30" s="37">
        <v>-341000</v>
      </c>
    </row>
    <row r="31" spans="1:3" x14ac:dyDescent="0.2">
      <c r="A31" s="29" t="s">
        <v>96</v>
      </c>
      <c r="B31" s="31">
        <v>44987.48</v>
      </c>
    </row>
    <row r="33" spans="1:10" x14ac:dyDescent="0.2">
      <c r="A33" s="2" t="s">
        <v>97</v>
      </c>
      <c r="B33" s="2"/>
      <c r="C33" s="2"/>
      <c r="D33" s="2"/>
      <c r="E33" s="2"/>
      <c r="F33" s="2"/>
      <c r="G33" s="2"/>
      <c r="H33" s="2"/>
      <c r="I33" s="2"/>
      <c r="J33" s="2"/>
    </row>
    <row r="34" spans="1:10" ht="27.75" customHeight="1" x14ac:dyDescent="0.2">
      <c r="A34" s="10" t="s">
        <v>98</v>
      </c>
      <c r="B34" s="52" t="s">
        <v>99</v>
      </c>
      <c r="C34" s="11" t="s">
        <v>100</v>
      </c>
      <c r="D34" s="53"/>
      <c r="E34" s="52" t="s">
        <v>101</v>
      </c>
      <c r="F34" s="52" t="s">
        <v>102</v>
      </c>
      <c r="G34" s="52" t="s">
        <v>103</v>
      </c>
      <c r="H34" s="52" t="s">
        <v>104</v>
      </c>
      <c r="I34" s="52" t="s">
        <v>105</v>
      </c>
      <c r="J34" s="52" t="s">
        <v>106</v>
      </c>
    </row>
    <row r="35" spans="1:10" x14ac:dyDescent="0.2">
      <c r="A35" s="14" t="s">
        <v>107</v>
      </c>
      <c r="B35" s="37">
        <v>565788.70799999998</v>
      </c>
      <c r="C35" s="54">
        <v>2.3315471298403398</v>
      </c>
      <c r="D35" s="55"/>
      <c r="E35" s="56">
        <v>9429811.8000000007</v>
      </c>
      <c r="F35" s="16">
        <v>8704441.6615384594</v>
      </c>
      <c r="G35" s="16">
        <v>8082695.8285714304</v>
      </c>
      <c r="H35" s="16">
        <v>7543849.4400000004</v>
      </c>
      <c r="I35" s="16">
        <v>7072358.8499999996</v>
      </c>
      <c r="J35" s="57">
        <v>6656337.7411764702</v>
      </c>
    </row>
    <row r="36" spans="1:10" x14ac:dyDescent="0.2">
      <c r="A36" s="14" t="s">
        <v>108</v>
      </c>
      <c r="B36" s="37">
        <v>597221.41399999999</v>
      </c>
      <c r="C36" s="54">
        <v>2.4610775259425899</v>
      </c>
      <c r="D36" s="55"/>
      <c r="E36" s="56">
        <v>9953690.2333333306</v>
      </c>
      <c r="F36" s="56">
        <v>9188021.7538461499</v>
      </c>
      <c r="G36" s="16">
        <v>8531734.4857142903</v>
      </c>
      <c r="H36" s="16">
        <v>7962952.1866666703</v>
      </c>
      <c r="I36" s="16">
        <v>7465267.6749999998</v>
      </c>
      <c r="J36" s="16">
        <v>7026134.2823529402</v>
      </c>
    </row>
    <row r="37" spans="1:10" x14ac:dyDescent="0.2">
      <c r="A37" s="58" t="s">
        <v>109</v>
      </c>
      <c r="B37" s="59">
        <v>628654.12</v>
      </c>
      <c r="C37" s="60">
        <v>2.5906079220448301</v>
      </c>
      <c r="D37" s="49"/>
      <c r="E37" s="61">
        <v>10477568.6666667</v>
      </c>
      <c r="F37" s="61">
        <v>9671601.8461538497</v>
      </c>
      <c r="G37" s="61">
        <v>8980773.1428571399</v>
      </c>
      <c r="H37" s="61">
        <v>8382054.9333333299</v>
      </c>
      <c r="I37" s="61">
        <v>7858176.5</v>
      </c>
      <c r="J37" s="61">
        <v>7395930.8235294102</v>
      </c>
    </row>
    <row r="38" spans="1:10" x14ac:dyDescent="0.2">
      <c r="A38" s="14" t="s">
        <v>110</v>
      </c>
      <c r="B38" s="37">
        <v>660086.826</v>
      </c>
      <c r="C38" s="54">
        <v>2.72013831814707</v>
      </c>
      <c r="D38" s="55"/>
      <c r="E38" s="56">
        <v>11001447.1</v>
      </c>
      <c r="F38" s="56">
        <v>10155181.938461499</v>
      </c>
      <c r="G38" s="56">
        <v>9429811.8000000007</v>
      </c>
      <c r="H38" s="16">
        <v>8801157.6799999997</v>
      </c>
      <c r="I38" s="16">
        <v>8251085.3250000002</v>
      </c>
      <c r="J38" s="16">
        <v>7765727.3647058802</v>
      </c>
    </row>
    <row r="39" spans="1:10" x14ac:dyDescent="0.2">
      <c r="A39" s="14" t="s">
        <v>111</v>
      </c>
      <c r="B39" s="37">
        <v>691519.53200000001</v>
      </c>
      <c r="C39" s="54">
        <v>2.8496687142493098</v>
      </c>
      <c r="D39" s="55"/>
      <c r="E39" s="56">
        <v>11525325.5333333</v>
      </c>
      <c r="F39" s="56">
        <v>10638762.030769199</v>
      </c>
      <c r="G39" s="56">
        <v>9878850.4571428597</v>
      </c>
      <c r="H39" s="56">
        <v>9220260.4266666695</v>
      </c>
      <c r="I39" s="16">
        <v>8643994.1500000004</v>
      </c>
      <c r="J39" s="16">
        <v>8135523.9058823502</v>
      </c>
    </row>
    <row r="41" spans="1:10" x14ac:dyDescent="0.2">
      <c r="A41" s="2" t="s">
        <v>112</v>
      </c>
      <c r="B41" s="2"/>
      <c r="C41" s="2"/>
      <c r="D41" s="2"/>
      <c r="E41" s="2"/>
      <c r="F41" s="2"/>
      <c r="G41" s="2"/>
      <c r="H41" s="2"/>
      <c r="I41" s="2"/>
      <c r="J41" s="2"/>
    </row>
    <row r="42" spans="1:10" ht="27.75" customHeight="1" x14ac:dyDescent="0.2">
      <c r="A42" s="10" t="s">
        <v>98</v>
      </c>
      <c r="B42" s="52" t="s">
        <v>99</v>
      </c>
      <c r="C42" s="53"/>
      <c r="D42" s="53"/>
      <c r="E42" s="52" t="s">
        <v>101</v>
      </c>
      <c r="F42" s="52" t="s">
        <v>102</v>
      </c>
      <c r="G42" s="52" t="s">
        <v>103</v>
      </c>
      <c r="H42" s="52" t="s">
        <v>104</v>
      </c>
      <c r="I42" s="52" t="s">
        <v>105</v>
      </c>
      <c r="J42" s="52" t="s">
        <v>106</v>
      </c>
    </row>
    <row r="43" spans="1:10" x14ac:dyDescent="0.2">
      <c r="A43" s="14" t="s">
        <v>107</v>
      </c>
      <c r="B43" s="37">
        <v>565788.70799999998</v>
      </c>
      <c r="C43" s="55"/>
      <c r="D43" s="55"/>
      <c r="E43" s="56">
        <v>3946917.446</v>
      </c>
      <c r="F43" s="16">
        <v>3243308.4116923101</v>
      </c>
      <c r="G43" s="16">
        <v>2640214.9537142902</v>
      </c>
      <c r="H43" s="16">
        <v>2117533.9567999998</v>
      </c>
      <c r="I43" s="57">
        <v>1660188.0845000001</v>
      </c>
      <c r="J43" s="57">
        <v>1256647.6089411799</v>
      </c>
    </row>
    <row r="44" spans="1:10" x14ac:dyDescent="0.2">
      <c r="A44" s="14" t="s">
        <v>108</v>
      </c>
      <c r="B44" s="37">
        <v>597221.41399999999</v>
      </c>
      <c r="C44" s="55"/>
      <c r="D44" s="55"/>
      <c r="E44" s="56">
        <v>4455079.5263333302</v>
      </c>
      <c r="F44" s="56">
        <v>3712381.1012307699</v>
      </c>
      <c r="G44" s="16">
        <v>3075782.4511428601</v>
      </c>
      <c r="H44" s="16">
        <v>2524063.6210666699</v>
      </c>
      <c r="I44" s="16">
        <v>2041309.64475</v>
      </c>
      <c r="J44" s="57">
        <v>1615350.2538823499</v>
      </c>
    </row>
    <row r="45" spans="1:10" x14ac:dyDescent="0.2">
      <c r="A45" s="58" t="s">
        <v>109</v>
      </c>
      <c r="B45" s="59">
        <v>628654.12</v>
      </c>
      <c r="C45" s="49"/>
      <c r="D45" s="49"/>
      <c r="E45" s="61">
        <v>4963241.6066666702</v>
      </c>
      <c r="F45" s="61">
        <v>4181453.7907692301</v>
      </c>
      <c r="G45" s="61">
        <v>3511349.9485714301</v>
      </c>
      <c r="H45" s="61">
        <v>2930593.2853333298</v>
      </c>
      <c r="I45" s="61">
        <v>2422431.2050000001</v>
      </c>
      <c r="J45" s="61">
        <v>1974052.8988235299</v>
      </c>
    </row>
    <row r="46" spans="1:10" x14ac:dyDescent="0.2">
      <c r="A46" s="14" t="s">
        <v>110</v>
      </c>
      <c r="B46" s="37">
        <v>660086.826</v>
      </c>
      <c r="C46" s="55"/>
      <c r="D46" s="55"/>
      <c r="E46" s="56">
        <v>5471403.6869999999</v>
      </c>
      <c r="F46" s="56">
        <v>4650526.4803076899</v>
      </c>
      <c r="G46" s="56">
        <v>3946917.446</v>
      </c>
      <c r="H46" s="16">
        <v>3337122.9495999999</v>
      </c>
      <c r="I46" s="16">
        <v>2803552.7652500002</v>
      </c>
      <c r="J46" s="16">
        <v>2332755.54376471</v>
      </c>
    </row>
    <row r="47" spans="1:10" x14ac:dyDescent="0.2">
      <c r="A47" s="14" t="s">
        <v>111</v>
      </c>
      <c r="B47" s="37">
        <v>691519.53200000001</v>
      </c>
      <c r="C47" s="55"/>
      <c r="D47" s="55"/>
      <c r="E47" s="56">
        <v>5979565.7673333297</v>
      </c>
      <c r="F47" s="56">
        <v>5119599.1698461501</v>
      </c>
      <c r="G47" s="56">
        <v>4382484.9434285704</v>
      </c>
      <c r="H47" s="56">
        <v>3743652.6138666701</v>
      </c>
      <c r="I47" s="16">
        <v>3184674.3254999998</v>
      </c>
      <c r="J47" s="16">
        <v>2691458.1887058802</v>
      </c>
    </row>
    <row r="49" spans="1:10" x14ac:dyDescent="0.2">
      <c r="A49" s="62" t="s">
        <v>113</v>
      </c>
    </row>
    <row r="50" spans="1:10" x14ac:dyDescent="0.2">
      <c r="A50" s="1" t="s">
        <v>114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 t="s">
        <v>115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 t="s">
        <v>116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 t="s">
        <v>117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 t="s">
        <v>118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 t="s">
        <v>119</v>
      </c>
      <c r="B55" s="1"/>
      <c r="C55" s="1"/>
      <c r="D55" s="1"/>
      <c r="E55" s="1"/>
      <c r="F55" s="1"/>
      <c r="G55" s="1"/>
      <c r="H55" s="1"/>
      <c r="I55" s="1"/>
      <c r="J55" s="1"/>
    </row>
  </sheetData>
  <mergeCells count="13">
    <mergeCell ref="A53:J53"/>
    <mergeCell ref="A54:J54"/>
    <mergeCell ref="A55:J55"/>
    <mergeCell ref="A33:J33"/>
    <mergeCell ref="A41:J41"/>
    <mergeCell ref="A50:J50"/>
    <mergeCell ref="A51:J51"/>
    <mergeCell ref="A52:J52"/>
    <mergeCell ref="A1:J1"/>
    <mergeCell ref="A2:J2"/>
    <mergeCell ref="A4:C4"/>
    <mergeCell ref="A13:C13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baseColWidth="10" defaultColWidth="8.6640625" defaultRowHeight="15" customHeight="1" x14ac:dyDescent="0.2"/>
  <cols>
    <col min="1" max="1" width="30" customWidth="1"/>
    <col min="2" max="15" width="11" customWidth="1"/>
  </cols>
  <sheetData>
    <row r="1" spans="1:14" x14ac:dyDescent="0.2">
      <c r="A1" s="4" t="s">
        <v>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39" t="s">
        <v>3</v>
      </c>
      <c r="B2" s="40" t="s">
        <v>57</v>
      </c>
      <c r="C2" s="40" t="s">
        <v>58</v>
      </c>
      <c r="D2" s="40" t="s">
        <v>59</v>
      </c>
      <c r="E2" s="40" t="s">
        <v>60</v>
      </c>
      <c r="F2" s="40" t="s">
        <v>61</v>
      </c>
      <c r="G2" s="40" t="s">
        <v>62</v>
      </c>
      <c r="H2" s="40" t="s">
        <v>63</v>
      </c>
      <c r="I2" s="40" t="s">
        <v>64</v>
      </c>
      <c r="J2" s="40" t="s">
        <v>65</v>
      </c>
      <c r="K2" s="40" t="s">
        <v>66</v>
      </c>
      <c r="L2" s="40" t="s">
        <v>67</v>
      </c>
      <c r="M2" s="40" t="s">
        <v>68</v>
      </c>
      <c r="N2" s="40" t="s">
        <v>69</v>
      </c>
    </row>
    <row r="3" spans="1:14" x14ac:dyDescent="0.2">
      <c r="A3" s="14" t="s">
        <v>12</v>
      </c>
      <c r="B3" s="37">
        <v>105153.4</v>
      </c>
      <c r="C3" s="37">
        <v>105153.4</v>
      </c>
      <c r="D3" s="37">
        <v>105153.4</v>
      </c>
      <c r="E3" s="37">
        <v>105153.4</v>
      </c>
      <c r="F3" s="37">
        <v>105153.4</v>
      </c>
      <c r="G3" s="37">
        <v>105153.4</v>
      </c>
      <c r="H3" s="37">
        <v>107224.41</v>
      </c>
      <c r="I3" s="37">
        <v>107224.41</v>
      </c>
      <c r="J3" s="37">
        <v>107224.41</v>
      </c>
      <c r="K3" s="37">
        <v>107224.41</v>
      </c>
      <c r="L3" s="37">
        <v>107224.41</v>
      </c>
      <c r="M3" s="37">
        <v>107224.41</v>
      </c>
      <c r="N3" s="16">
        <f>SUM(B3:M3)</f>
        <v>1274266.8599999999</v>
      </c>
    </row>
    <row r="4" spans="1:14" x14ac:dyDescent="0.2">
      <c r="A4" s="14" t="s">
        <v>13</v>
      </c>
      <c r="B4" s="37">
        <v>863</v>
      </c>
      <c r="C4" s="37">
        <v>863</v>
      </c>
      <c r="D4" s="37">
        <v>863</v>
      </c>
      <c r="E4" s="37">
        <v>863</v>
      </c>
      <c r="F4" s="37">
        <v>863</v>
      </c>
      <c r="G4" s="37">
        <v>863</v>
      </c>
      <c r="H4" s="37">
        <v>863</v>
      </c>
      <c r="I4" s="37">
        <v>863</v>
      </c>
      <c r="J4" s="37">
        <v>863</v>
      </c>
      <c r="K4" s="37">
        <v>863</v>
      </c>
      <c r="L4" s="37">
        <v>863</v>
      </c>
      <c r="M4" s="37">
        <v>863</v>
      </c>
      <c r="N4" s="16">
        <f>SUM(B4:M4)</f>
        <v>10356</v>
      </c>
    </row>
    <row r="5" spans="1:14" x14ac:dyDescent="0.2">
      <c r="A5" s="14" t="s">
        <v>16</v>
      </c>
      <c r="B5" s="37">
        <v>772</v>
      </c>
      <c r="C5" s="37">
        <v>772</v>
      </c>
      <c r="D5" s="37">
        <v>772</v>
      </c>
      <c r="E5" s="37">
        <v>772</v>
      </c>
      <c r="F5" s="37">
        <v>772</v>
      </c>
      <c r="G5" s="37">
        <v>772</v>
      </c>
      <c r="H5" s="37">
        <v>772</v>
      </c>
      <c r="I5" s="37">
        <v>772</v>
      </c>
      <c r="J5" s="37">
        <v>772</v>
      </c>
      <c r="K5" s="37">
        <v>772</v>
      </c>
      <c r="L5" s="37">
        <v>772</v>
      </c>
      <c r="M5" s="37">
        <v>772</v>
      </c>
      <c r="N5" s="16">
        <f>SUM(B5:M5)</f>
        <v>9264</v>
      </c>
    </row>
    <row r="6" spans="1:14" x14ac:dyDescent="0.2">
      <c r="A6" s="14" t="s">
        <v>15</v>
      </c>
      <c r="B6" s="37">
        <v>3450</v>
      </c>
      <c r="C6" s="37">
        <v>3450</v>
      </c>
      <c r="D6" s="37">
        <v>3450</v>
      </c>
      <c r="E6" s="37">
        <v>3450</v>
      </c>
      <c r="F6" s="37">
        <v>3450</v>
      </c>
      <c r="G6" s="37">
        <v>3450</v>
      </c>
      <c r="H6" s="37">
        <v>3450</v>
      </c>
      <c r="I6" s="37">
        <v>3450</v>
      </c>
      <c r="J6" s="37">
        <v>3450</v>
      </c>
      <c r="K6" s="37">
        <v>3450</v>
      </c>
      <c r="L6" s="37">
        <v>3450</v>
      </c>
      <c r="M6" s="37">
        <v>3450</v>
      </c>
      <c r="N6" s="16">
        <f>SUM(B6:M6)</f>
        <v>41400</v>
      </c>
    </row>
    <row r="7" spans="1:14" x14ac:dyDescent="0.2">
      <c r="A7" s="18" t="s">
        <v>17</v>
      </c>
      <c r="B7" s="20">
        <v>110238.39999999999</v>
      </c>
      <c r="C7" s="20">
        <v>110238.39999999999</v>
      </c>
      <c r="D7" s="20">
        <v>110238.39999999999</v>
      </c>
      <c r="E7" s="20">
        <v>110238.39999999999</v>
      </c>
      <c r="F7" s="20">
        <v>110238.39999999999</v>
      </c>
      <c r="G7" s="20">
        <v>110238.39999999999</v>
      </c>
      <c r="H7" s="20">
        <v>112309.41</v>
      </c>
      <c r="I7" s="20">
        <v>112309.41</v>
      </c>
      <c r="J7" s="20">
        <v>112309.41</v>
      </c>
      <c r="K7" s="20">
        <v>112309.41</v>
      </c>
      <c r="L7" s="20">
        <v>112309.41</v>
      </c>
      <c r="M7" s="20">
        <v>112309.41</v>
      </c>
      <c r="N7" s="20">
        <f>SUM(B7:M7)</f>
        <v>1335286.8599999999</v>
      </c>
    </row>
    <row r="9" spans="1:14" x14ac:dyDescent="0.2">
      <c r="A9" s="14" t="s">
        <v>19</v>
      </c>
      <c r="B9" s="37">
        <v>118</v>
      </c>
      <c r="C9" s="37">
        <v>118</v>
      </c>
      <c r="D9" s="37">
        <v>118</v>
      </c>
      <c r="E9" s="37">
        <v>118</v>
      </c>
      <c r="F9" s="37">
        <v>118</v>
      </c>
      <c r="G9" s="37">
        <v>118</v>
      </c>
      <c r="H9" s="37">
        <v>118</v>
      </c>
      <c r="I9" s="37">
        <v>118</v>
      </c>
      <c r="J9" s="37">
        <v>118</v>
      </c>
      <c r="K9" s="37">
        <v>118</v>
      </c>
      <c r="L9" s="37">
        <v>118</v>
      </c>
      <c r="M9" s="37">
        <v>118</v>
      </c>
      <c r="N9" s="16">
        <f t="shared" ref="N9:N15" si="0">SUM(B9:M9)</f>
        <v>1416</v>
      </c>
    </row>
    <row r="10" spans="1:14" x14ac:dyDescent="0.2">
      <c r="A10" s="14" t="s">
        <v>20</v>
      </c>
      <c r="B10" s="37">
        <v>23012</v>
      </c>
      <c r="C10" s="37">
        <v>23012</v>
      </c>
      <c r="D10" s="37">
        <v>23012</v>
      </c>
      <c r="E10" s="37">
        <v>23012</v>
      </c>
      <c r="F10" s="37">
        <v>23012</v>
      </c>
      <c r="G10" s="37">
        <v>23012</v>
      </c>
      <c r="H10" s="37">
        <v>23012</v>
      </c>
      <c r="I10" s="37">
        <v>23012</v>
      </c>
      <c r="J10" s="37">
        <v>23012</v>
      </c>
      <c r="K10" s="37">
        <v>23012</v>
      </c>
      <c r="L10" s="37">
        <v>23012</v>
      </c>
      <c r="M10" s="37">
        <v>23012</v>
      </c>
      <c r="N10" s="16">
        <f t="shared" si="0"/>
        <v>276144</v>
      </c>
    </row>
    <row r="11" spans="1:14" x14ac:dyDescent="0.2">
      <c r="A11" s="14" t="s">
        <v>21</v>
      </c>
      <c r="B11" s="37">
        <v>6174</v>
      </c>
      <c r="C11" s="37">
        <v>6174</v>
      </c>
      <c r="D11" s="37">
        <v>6174</v>
      </c>
      <c r="E11" s="37">
        <v>6174</v>
      </c>
      <c r="F11" s="37">
        <v>6174</v>
      </c>
      <c r="G11" s="37">
        <v>6174</v>
      </c>
      <c r="H11" s="37">
        <v>6174</v>
      </c>
      <c r="I11" s="37">
        <v>6174</v>
      </c>
      <c r="J11" s="37">
        <v>6174</v>
      </c>
      <c r="K11" s="37">
        <v>6174</v>
      </c>
      <c r="L11" s="37">
        <v>6174</v>
      </c>
      <c r="M11" s="37">
        <v>6174</v>
      </c>
      <c r="N11" s="16">
        <f t="shared" si="0"/>
        <v>74088</v>
      </c>
    </row>
    <row r="12" spans="1:14" x14ac:dyDescent="0.2">
      <c r="A12" s="14" t="s">
        <v>22</v>
      </c>
      <c r="B12" s="37">
        <v>14043</v>
      </c>
      <c r="C12" s="37">
        <v>14043</v>
      </c>
      <c r="D12" s="37">
        <v>14043</v>
      </c>
      <c r="E12" s="37">
        <v>14043</v>
      </c>
      <c r="F12" s="37">
        <v>14043</v>
      </c>
      <c r="G12" s="37">
        <v>14043</v>
      </c>
      <c r="H12" s="37">
        <v>14043</v>
      </c>
      <c r="I12" s="37">
        <v>14043</v>
      </c>
      <c r="J12" s="37">
        <v>14043</v>
      </c>
      <c r="K12" s="37">
        <v>14043</v>
      </c>
      <c r="L12" s="37">
        <v>14043</v>
      </c>
      <c r="M12" s="37">
        <v>14043</v>
      </c>
      <c r="N12" s="16">
        <f t="shared" si="0"/>
        <v>168516</v>
      </c>
    </row>
    <row r="13" spans="1:14" x14ac:dyDescent="0.2">
      <c r="A13" s="14" t="s">
        <v>23</v>
      </c>
      <c r="B13" s="37">
        <v>7112</v>
      </c>
      <c r="C13" s="37">
        <v>7112</v>
      </c>
      <c r="D13" s="37">
        <v>7112</v>
      </c>
      <c r="E13" s="37">
        <v>7112</v>
      </c>
      <c r="F13" s="37">
        <v>7112</v>
      </c>
      <c r="G13" s="37">
        <v>7112</v>
      </c>
      <c r="H13" s="37">
        <v>7112</v>
      </c>
      <c r="I13" s="37">
        <v>7112</v>
      </c>
      <c r="J13" s="37">
        <v>7112</v>
      </c>
      <c r="K13" s="37">
        <v>7112</v>
      </c>
      <c r="L13" s="37">
        <v>7112</v>
      </c>
      <c r="M13" s="37">
        <v>7112</v>
      </c>
      <c r="N13" s="16">
        <f t="shared" si="0"/>
        <v>85344</v>
      </c>
    </row>
    <row r="14" spans="1:14" x14ac:dyDescent="0.2">
      <c r="A14" s="14" t="s">
        <v>24</v>
      </c>
      <c r="B14" s="37">
        <v>6294.62</v>
      </c>
      <c r="C14" s="37">
        <v>6294.62</v>
      </c>
      <c r="D14" s="37">
        <v>6294.62</v>
      </c>
      <c r="E14" s="37">
        <v>6294.62</v>
      </c>
      <c r="F14" s="37">
        <v>6294.62</v>
      </c>
      <c r="G14" s="37">
        <v>6294.62</v>
      </c>
      <c r="H14" s="37">
        <v>6398.17</v>
      </c>
      <c r="I14" s="37">
        <v>6398.17</v>
      </c>
      <c r="J14" s="37">
        <v>6398.17</v>
      </c>
      <c r="K14" s="37">
        <v>6398.17</v>
      </c>
      <c r="L14" s="37">
        <v>6398.17</v>
      </c>
      <c r="M14" s="37">
        <v>6398.17</v>
      </c>
      <c r="N14" s="16">
        <f t="shared" si="0"/>
        <v>76156.739999999991</v>
      </c>
    </row>
    <row r="15" spans="1:14" x14ac:dyDescent="0.2">
      <c r="A15" s="18" t="s">
        <v>25</v>
      </c>
      <c r="B15" s="20">
        <v>56753.62</v>
      </c>
      <c r="C15" s="20">
        <v>56753.62</v>
      </c>
      <c r="D15" s="20">
        <v>56753.62</v>
      </c>
      <c r="E15" s="20">
        <v>56753.62</v>
      </c>
      <c r="F15" s="20">
        <v>56753.62</v>
      </c>
      <c r="G15" s="20">
        <v>56753.62</v>
      </c>
      <c r="H15" s="20">
        <v>56857.17</v>
      </c>
      <c r="I15" s="20">
        <v>56857.17</v>
      </c>
      <c r="J15" s="20">
        <v>56857.17</v>
      </c>
      <c r="K15" s="20">
        <v>56857.17</v>
      </c>
      <c r="L15" s="20">
        <v>56857.17</v>
      </c>
      <c r="M15" s="20">
        <v>56857.17</v>
      </c>
      <c r="N15" s="20">
        <f t="shared" si="0"/>
        <v>681664.74000000011</v>
      </c>
    </row>
    <row r="17" spans="1:14" x14ac:dyDescent="0.2">
      <c r="A17" s="22" t="s">
        <v>70</v>
      </c>
      <c r="B17" s="24">
        <v>53484.78</v>
      </c>
      <c r="C17" s="24">
        <v>53484.78</v>
      </c>
      <c r="D17" s="24">
        <v>53484.78</v>
      </c>
      <c r="E17" s="24">
        <v>53484.78</v>
      </c>
      <c r="F17" s="24">
        <v>53484.78</v>
      </c>
      <c r="G17" s="24">
        <v>53484.78</v>
      </c>
      <c r="H17" s="24">
        <v>55452.24</v>
      </c>
      <c r="I17" s="24">
        <v>55452.24</v>
      </c>
      <c r="J17" s="24">
        <v>55452.24</v>
      </c>
      <c r="K17" s="24">
        <v>55452.24</v>
      </c>
      <c r="L17" s="24">
        <v>55452.24</v>
      </c>
      <c r="M17" s="24">
        <v>55452.24</v>
      </c>
      <c r="N17" s="24">
        <f>SUM(B17:M17)</f>
        <v>653622.12</v>
      </c>
    </row>
    <row r="19" spans="1:14" x14ac:dyDescent="0.2">
      <c r="A19" s="14" t="s">
        <v>29</v>
      </c>
      <c r="B19" s="37">
        <v>18315.509999999998</v>
      </c>
      <c r="C19" s="37">
        <v>18306.75</v>
      </c>
      <c r="D19" s="37">
        <v>18297.95</v>
      </c>
      <c r="E19" s="37">
        <v>18289.11</v>
      </c>
      <c r="F19" s="37">
        <v>18280.22</v>
      </c>
      <c r="G19" s="37">
        <v>18271.29</v>
      </c>
      <c r="H19" s="37">
        <v>18262.310000000001</v>
      </c>
      <c r="I19" s="37">
        <v>18253.3</v>
      </c>
      <c r="J19" s="37">
        <v>18244.240000000002</v>
      </c>
      <c r="K19" s="37">
        <v>18235.13</v>
      </c>
      <c r="L19" s="37">
        <v>18225.97</v>
      </c>
      <c r="M19" s="37">
        <v>18216.78</v>
      </c>
      <c r="N19" s="16">
        <f>SUM(B19:M19)</f>
        <v>219198.55999999997</v>
      </c>
    </row>
    <row r="20" spans="1:14" x14ac:dyDescent="0.2">
      <c r="A20" s="14" t="s">
        <v>30</v>
      </c>
      <c r="B20" s="37">
        <v>75000</v>
      </c>
      <c r="C20" s="37">
        <v>75000</v>
      </c>
      <c r="D20" s="37">
        <v>20000</v>
      </c>
      <c r="E20" s="37">
        <v>20000</v>
      </c>
      <c r="F20" s="37">
        <v>20000</v>
      </c>
      <c r="G20" s="37">
        <v>95000</v>
      </c>
      <c r="H20" s="37">
        <v>20000</v>
      </c>
      <c r="I20" s="37">
        <v>10000</v>
      </c>
      <c r="J20" s="37">
        <v>6000</v>
      </c>
      <c r="K20" s="37">
        <v>0</v>
      </c>
      <c r="L20" s="37">
        <v>0</v>
      </c>
      <c r="M20" s="37">
        <v>0</v>
      </c>
      <c r="N20" s="16">
        <f>SUM(B20:M20)</f>
        <v>341000</v>
      </c>
    </row>
    <row r="21" spans="1:14" x14ac:dyDescent="0.2">
      <c r="A21" s="29" t="s">
        <v>32</v>
      </c>
      <c r="B21" s="31">
        <v>-39830.730000000003</v>
      </c>
      <c r="C21" s="31">
        <v>-39821.97</v>
      </c>
      <c r="D21" s="31">
        <v>15186.83</v>
      </c>
      <c r="E21" s="31">
        <v>15195.67</v>
      </c>
      <c r="F21" s="31">
        <v>15204.56</v>
      </c>
      <c r="G21" s="31">
        <v>-59786.51</v>
      </c>
      <c r="H21" s="31">
        <v>17189.93</v>
      </c>
      <c r="I21" s="31">
        <v>27198.94</v>
      </c>
      <c r="J21" s="31">
        <v>31208</v>
      </c>
      <c r="K21" s="31">
        <v>37217.11</v>
      </c>
      <c r="L21" s="31">
        <v>37226.269999999997</v>
      </c>
      <c r="M21" s="31">
        <v>37235.46</v>
      </c>
      <c r="N21" s="31">
        <f>SUM(B21:M21)</f>
        <v>93423.559999999969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Valuation</vt:lpstr>
      <vt:lpstr>2026 Budget (12-Month)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Nate Fisher</cp:lastModifiedBy>
  <cp:revision>0</cp:revision>
  <dcterms:created xsi:type="dcterms:W3CDTF">2026-03-16T21:21:32Z</dcterms:created>
  <dcterms:modified xsi:type="dcterms:W3CDTF">2026-03-16T22:40:40Z</dcterms:modified>
  <dc:language>en-US</dc:language>
</cp:coreProperties>
</file>